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  <sheet state="visible" name="Conjunto de dados3" sheetId="4" r:id="rId6"/>
    <sheet state="visible" name="Conjunto de dados4" sheetId="5" r:id="rId7"/>
    <sheet state="visible" name="Conjunto de dados5" sheetId="6" r:id="rId8"/>
    <sheet state="visible" name="Conjunto de dados6" sheetId="7" r:id="rId9"/>
    <sheet state="visible" name="Conjunto de dados7" sheetId="8" r:id="rId10"/>
    <sheet state="visible" name="Conjunto de dados8" sheetId="9" r:id="rId11"/>
    <sheet state="visible" name="Conjunto de dados9" sheetId="10" r:id="rId12"/>
    <sheet state="visible" name="Conjunto de dados10" sheetId="11" r:id="rId13"/>
    <sheet state="visible" name="Conjunto de dados11" sheetId="12" r:id="rId14"/>
    <sheet state="visible" name="Conjunto de dados12" sheetId="13" r:id="rId15"/>
  </sheets>
  <definedNames/>
  <calcPr/>
</workbook>
</file>

<file path=xl/sharedStrings.xml><?xml version="1.0" encoding="utf-8"?>
<sst xmlns="http://schemas.openxmlformats.org/spreadsheetml/2006/main" count="49" uniqueCount="42">
  <si>
    <t>Todos os dados do website</t>
  </si>
  <si>
    <t>Interesses: visão geral</t>
  </si>
  <si>
    <t>20200901-20230601</t>
  </si>
  <si>
    <t>Links para os dados:</t>
  </si>
  <si>
    <t>Categoria de afinidade (alcance)</t>
  </si>
  <si>
    <t>Usuários</t>
  </si>
  <si>
    <t>Food &amp; Dining/Cooking Enthusiasts/30 Minute Chefs</t>
  </si>
  <si>
    <t>Media &amp; Entertainment/Book Lovers</t>
  </si>
  <si>
    <t>Lifestyles &amp; Hobbies/Green Living Enthusiasts</t>
  </si>
  <si>
    <t>News &amp; Politics/Avid News Readers</t>
  </si>
  <si>
    <t>Shoppers/Value Shoppers</t>
  </si>
  <si>
    <t>Media &amp; Entertainment/Movie Lovers</t>
  </si>
  <si>
    <t>Media &amp; Entertainment/TV Lovers</t>
  </si>
  <si>
    <t>Travel/Travel Buffs</t>
  </si>
  <si>
    <t>Lifestyles &amp; Hobbies/Art &amp; Theater Aficionados</t>
  </si>
  <si>
    <t>Lifestyles &amp; Hobbies/Pet Lovers</t>
  </si>
  <si>
    <t>Há categoria de afinidade</t>
  </si>
  <si>
    <t>Yes</t>
  </si>
  <si>
    <t>Segmento no mercado</t>
  </si>
  <si>
    <t>Education/Post-Secondary Education</t>
  </si>
  <si>
    <t>Employment</t>
  </si>
  <si>
    <t>Education/Test Preparation &amp; Tutoring</t>
  </si>
  <si>
    <t>Financial Services/Banking Services</t>
  </si>
  <si>
    <t>Apparel &amp; Accessories/Women's Apparel</t>
  </si>
  <si>
    <t>Business Services/Advertising &amp; Marketing Services</t>
  </si>
  <si>
    <t>Employment/Government &amp; Public Sector Jobs</t>
  </si>
  <si>
    <t>Financial Services/Investment Services</t>
  </si>
  <si>
    <t>Apparel &amp; Accessories/Shoes</t>
  </si>
  <si>
    <t>Consumer Electronics/Mobile Phones</t>
  </si>
  <si>
    <t>Há segmento no mercado</t>
  </si>
  <si>
    <t>Outra categoria</t>
  </si>
  <si>
    <t>Arts &amp; Entertainment/Celebrities &amp; Entertainment News</t>
  </si>
  <si>
    <t>Sports/Team Sports/Soccer</t>
  </si>
  <si>
    <t>News/Sports News</t>
  </si>
  <si>
    <t>News/Weather</t>
  </si>
  <si>
    <t>News/Politics</t>
  </si>
  <si>
    <t>Reference/General Reference/Dictionaries &amp; Encyclopedias</t>
  </si>
  <si>
    <t>Arts &amp; Entertainment/TV &amp; Video/TV Shows &amp; Programs/TV Dramas/TV Soap Operas</t>
  </si>
  <si>
    <t>Arts &amp; Entertainment/Music &amp; Audio/World Music/Latin American Music/Brazilian Music</t>
  </si>
  <si>
    <t>Food &amp; Drink/Cooking &amp; Recipes</t>
  </si>
  <si>
    <t>Arts &amp; Entertainment/TV &amp; Video/Online Video</t>
  </si>
  <si>
    <t>Há outra categoria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</si>
</sst>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  <row>
      <c r="A8" t="str">
        <f>HYPERLINK("#'Conjunto de dados3'!A1", "Conjunto de dados3")</f>
      </c>
    </row>
    <row>
      <c r="A9" t="str">
        <f>HYPERLINK("#'Conjunto de dados4'!A1", "Conjunto de dados4")</f>
      </c>
    </row>
    <row>
      <c r="A10" t="str">
        <f>HYPERLINK("#'Conjunto de dados5'!A1", "Conjunto de dados5")</f>
      </c>
    </row>
    <row>
      <c r="A11" t="str">
        <f>HYPERLINK("#'Conjunto de dados6'!A1", "Conjunto de dados6")</f>
      </c>
    </row>
    <row>
      <c r="A12" t="str">
        <f>HYPERLINK("#'Conjunto de dados7'!A1", "Conjunto de dados7")</f>
      </c>
    </row>
    <row>
      <c r="A13" t="str">
        <f>HYPERLINK("#'Conjunto de dados8'!A1", "Conjunto de dados8")</f>
      </c>
    </row>
    <row>
      <c r="A14" t="str">
        <f>HYPERLINK("#'Conjunto de dados9'!A1", "Conjunto de dados9")</f>
      </c>
    </row>
    <row>
      <c r="A15" t="str">
        <f>HYPERLINK("#'Conjunto de dados10'!A1", "Conjunto de dados10")</f>
      </c>
    </row>
    <row>
      <c r="A16" t="str">
        <f>HYPERLINK("#'Conjunto de dados11'!A1", "Conjunto de dados11")</f>
      </c>
    </row>
    <row>
      <c r="A17" t="str">
        <f>HYPERLINK("#'Conjunto de dados12'!A1", "Conjunto de dados12")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</row>
    <row>
      <c r="A2" t="s">
        <v>6</v>
      </c>
      <c r="B2">
        <v>3910</v>
      </c>
    </row>
    <row>
      <c r="A3" t="s">
        <v>7</v>
      </c>
      <c r="B3">
        <v>3074</v>
      </c>
    </row>
    <row>
      <c r="A4" t="s">
        <v>8</v>
      </c>
      <c r="B4">
        <v>2627</v>
      </c>
    </row>
    <row>
      <c r="A5" t="s">
        <v>9</v>
      </c>
      <c r="B5">
        <v>2522</v>
      </c>
    </row>
    <row>
      <c r="A6" t="s">
        <v>10</v>
      </c>
      <c r="B6">
        <v>2464</v>
      </c>
    </row>
    <row>
      <c r="A7" t="s">
        <v>11</v>
      </c>
      <c r="B7">
        <v>2102</v>
      </c>
    </row>
    <row>
      <c r="A8" t="s">
        <v>12</v>
      </c>
      <c r="B8">
        <v>1815</v>
      </c>
    </row>
    <row>
      <c r="A9" t="s">
        <v>13</v>
      </c>
      <c r="B9">
        <v>1779</v>
      </c>
    </row>
    <row>
      <c r="A10" t="s">
        <v>14</v>
      </c>
      <c r="B10">
        <v>1760</v>
      </c>
    </row>
    <row>
      <c r="A11" t="s">
        <v>15</v>
      </c>
      <c r="B11">
        <v>1726</v>
      </c>
    </row>
    <row>
      <c r="B12">
        <v>68167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16</v>
      </c>
      <c r="B1" t="s">
        <v>5</v>
      </c>
    </row>
    <row>
      <c r="A2" t="s">
        <v>17</v>
      </c>
      <c r="B2">
        <v>5438</v>
      </c>
    </row>
    <row>
      <c r="B3">
        <v>5438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18</v>
      </c>
      <c r="B1" t="s">
        <v>5</v>
      </c>
    </row>
    <row>
      <c r="A2" t="s">
        <v>19</v>
      </c>
      <c r="B2">
        <v>631</v>
      </c>
    </row>
    <row>
      <c r="A3" t="s">
        <v>20</v>
      </c>
      <c r="B3">
        <v>438</v>
      </c>
    </row>
    <row>
      <c r="A4" t="s">
        <v>21</v>
      </c>
      <c r="B4">
        <v>393</v>
      </c>
    </row>
    <row>
      <c r="A5" t="s">
        <v>22</v>
      </c>
      <c r="B5">
        <v>360</v>
      </c>
    </row>
    <row>
      <c r="A6" t="s">
        <v>23</v>
      </c>
      <c r="B6">
        <v>337</v>
      </c>
    </row>
    <row>
      <c r="A7" t="s">
        <v>24</v>
      </c>
      <c r="B7">
        <v>337</v>
      </c>
    </row>
    <row>
      <c r="A8" t="s">
        <v>25</v>
      </c>
      <c r="B8">
        <v>308</v>
      </c>
    </row>
    <row>
      <c r="A9" t="s">
        <v>26</v>
      </c>
      <c r="B9">
        <v>290</v>
      </c>
    </row>
    <row>
      <c r="A10" t="s">
        <v>27</v>
      </c>
      <c r="B10">
        <v>286</v>
      </c>
    </row>
    <row>
      <c r="A11" t="s">
        <v>28</v>
      </c>
      <c r="B11">
        <v>280</v>
      </c>
    </row>
    <row>
      <c r="B12">
        <v>16999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29</v>
      </c>
      <c r="B1" t="s">
        <v>5</v>
      </c>
    </row>
    <row>
      <c r="A2" t="s">
        <v>17</v>
      </c>
      <c r="B2">
        <v>3248</v>
      </c>
    </row>
    <row>
      <c r="B3">
        <v>3248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30</v>
      </c>
      <c r="B1" t="s">
        <v>5</v>
      </c>
    </row>
    <row>
      <c r="A2" t="s">
        <v>31</v>
      </c>
      <c r="B2">
        <v>1838</v>
      </c>
    </row>
    <row>
      <c r="A3" t="s">
        <v>32</v>
      </c>
      <c r="B3">
        <v>1118</v>
      </c>
    </row>
    <row>
      <c r="A4" t="s">
        <v>33</v>
      </c>
      <c r="B4">
        <v>816</v>
      </c>
    </row>
    <row>
      <c r="A5" t="s">
        <v>34</v>
      </c>
      <c r="B5">
        <v>556</v>
      </c>
    </row>
    <row>
      <c r="A6" t="s">
        <v>35</v>
      </c>
      <c r="B6">
        <v>551</v>
      </c>
    </row>
    <row>
      <c r="A7" t="s">
        <v>36</v>
      </c>
      <c r="B7">
        <v>549</v>
      </c>
    </row>
    <row>
      <c r="A8" t="s">
        <v>37</v>
      </c>
      <c r="B8">
        <v>524</v>
      </c>
    </row>
    <row>
      <c r="A9" t="s">
        <v>38</v>
      </c>
      <c r="B9">
        <v>509</v>
      </c>
    </row>
    <row>
      <c r="A10" t="s">
        <v>39</v>
      </c>
      <c r="B10">
        <v>492</v>
      </c>
    </row>
    <row>
      <c r="A11" t="s">
        <v>40</v>
      </c>
      <c r="B11">
        <v>480</v>
      </c>
    </row>
    <row>
      <c r="B12">
        <v>26668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41</v>
      </c>
      <c r="B1" t="s">
        <v>5</v>
      </c>
    </row>
    <row>
      <c r="A2" t="s">
        <v>17</v>
      </c>
      <c r="B2">
        <v>5092</v>
      </c>
    </row>
    <row>
      <c r="B3">
        <v>5092</v>
      </c>
    </row>
  </sheetData>
</worksheet>
</file>